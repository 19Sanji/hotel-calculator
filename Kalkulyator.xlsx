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Юлия\Desktop\"/>
    </mc:Choice>
  </mc:AlternateContent>
  <xr:revisionPtr revIDLastSave="0" documentId="13_ncr:1_{CA8897A1-D256-401B-9AEC-E0DCB70FF3E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База" sheetId="1" r:id="rId1"/>
    <sheet name="Калькулято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7" i="2" l="1"/>
  <c r="AY7" i="2"/>
  <c r="AG5" i="2"/>
  <c r="AG6" i="2" s="1"/>
  <c r="AH5" i="2"/>
  <c r="AH6" i="2" s="1"/>
  <c r="AI5" i="2"/>
  <c r="AI6" i="2" s="1"/>
  <c r="AJ5" i="2"/>
  <c r="AJ6" i="2" s="1"/>
  <c r="AK5" i="2"/>
  <c r="AK6" i="2" s="1"/>
  <c r="AL5" i="2"/>
  <c r="AL6" i="2" s="1"/>
  <c r="AM5" i="2"/>
  <c r="AM6" i="2" s="1"/>
  <c r="AN5" i="2"/>
  <c r="AN6" i="2" s="1"/>
  <c r="AO5" i="2"/>
  <c r="AO6" i="2" s="1"/>
  <c r="AP5" i="2"/>
  <c r="AP6" i="2" s="1"/>
  <c r="AQ5" i="2"/>
  <c r="AQ6" i="2" s="1"/>
  <c r="AR5" i="2"/>
  <c r="AR6" i="2" s="1"/>
  <c r="AS5" i="2"/>
  <c r="AS6" i="2" s="1"/>
  <c r="AT5" i="2"/>
  <c r="AT6" i="2" s="1"/>
  <c r="AU5" i="2"/>
  <c r="AU6" i="2" s="1"/>
  <c r="AV5" i="2"/>
  <c r="AV6" i="2" s="1"/>
  <c r="AW5" i="2"/>
  <c r="AW6" i="2" s="1"/>
  <c r="AX5" i="2"/>
  <c r="AY5" i="2"/>
  <c r="AZ5" i="2"/>
  <c r="BA5" i="2"/>
  <c r="BB5" i="2"/>
  <c r="BC5" i="2"/>
  <c r="BD5" i="2"/>
  <c r="BE5" i="2"/>
  <c r="AA5" i="2"/>
  <c r="AA6" i="2" s="1"/>
  <c r="AB5" i="2"/>
  <c r="AB6" i="2" s="1"/>
  <c r="AC5" i="2"/>
  <c r="AC6" i="2" s="1"/>
  <c r="AD5" i="2"/>
  <c r="AD6" i="2" s="1"/>
  <c r="AE5" i="2"/>
  <c r="AE6" i="2" s="1"/>
  <c r="AF5" i="2"/>
  <c r="AF6" i="2" s="1"/>
  <c r="Z5" i="2"/>
  <c r="Z6" i="2" s="1"/>
  <c r="Z7" i="2" s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K3" i="2"/>
  <c r="L3" i="2"/>
  <c r="M3" i="2"/>
  <c r="N3" i="2"/>
  <c r="O3" i="2"/>
  <c r="Q3" i="2"/>
  <c r="R3" i="2"/>
  <c r="S3" i="2"/>
  <c r="B8" i="2" a="1"/>
  <c r="B8" i="2" s="1"/>
  <c r="B6" i="2" a="1"/>
  <c r="B6" i="2" s="1"/>
  <c r="B5" i="2"/>
  <c r="B11" i="2" s="1"/>
  <c r="AF3" i="2" a="1"/>
  <c r="AA7" i="2" l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F3" i="2"/>
  <c r="B7" i="2"/>
  <c r="AB3" i="2" l="1"/>
  <c r="AC3" i="2"/>
  <c r="AG3" i="2"/>
  <c r="B9" i="2"/>
  <c r="B10" i="2"/>
  <c r="B13" i="2" l="1"/>
  <c r="AD3" i="2" s="1"/>
  <c r="AA3" i="2" l="1"/>
  <c r="Z3" i="2"/>
  <c r="AE3" i="2" l="1"/>
  <c r="H3" i="2" s="1"/>
  <c r="I3" i="2"/>
  <c r="B1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<sst xmlns="http://schemas.openxmlformats.org/spreadsheetml/2006/main" count="56" uniqueCount="51">
  <si>
    <t>Тип номера</t>
  </si>
  <si>
    <t>Будни</t>
  </si>
  <si>
    <t>Калькулятор стоимости проживания</t>
  </si>
  <si>
    <t>Всего ночей</t>
  </si>
  <si>
    <t>Выходные ночи</t>
  </si>
  <si>
    <t>Будничные ночи</t>
  </si>
  <si>
    <t>Пар пт+сб</t>
  </si>
  <si>
    <t>Цена номера</t>
  </si>
  <si>
    <t>Доплата за взрослых</t>
  </si>
  <si>
    <t>Доплата за детей</t>
  </si>
  <si>
    <t>Standart</t>
  </si>
  <si>
    <t>Standart+</t>
  </si>
  <si>
    <t>luxe</t>
  </si>
  <si>
    <t>townhouse</t>
  </si>
  <si>
    <t>bungalow</t>
  </si>
  <si>
    <t>chalet</t>
  </si>
  <si>
    <t>light</t>
  </si>
  <si>
    <t>panorama</t>
  </si>
  <si>
    <t>villa</t>
  </si>
  <si>
    <t>loft house</t>
  </si>
  <si>
    <t>luxe villa</t>
  </si>
  <si>
    <t>luxe house</t>
  </si>
  <si>
    <t>guest villa</t>
  </si>
  <si>
    <t>раняя бронь</t>
  </si>
  <si>
    <t>длительный заезд</t>
  </si>
  <si>
    <t>скидка</t>
  </si>
  <si>
    <t>Раннее бронирование</t>
  </si>
  <si>
    <t>Именинник</t>
  </si>
  <si>
    <t>3+1</t>
  </si>
  <si>
    <t>4+1</t>
  </si>
  <si>
    <t>Длительный заезд</t>
  </si>
  <si>
    <t>Нет акций</t>
  </si>
  <si>
    <t>РБ</t>
  </si>
  <si>
    <t>Им</t>
  </si>
  <si>
    <t>ДЗ</t>
  </si>
  <si>
    <t>Итого без скидки</t>
  </si>
  <si>
    <t>Итого со скидкой</t>
  </si>
  <si>
    <t>макс скидка</t>
  </si>
  <si>
    <t>Выходные2</t>
  </si>
  <si>
    <t>Выходные1</t>
  </si>
  <si>
    <t>Доп будни</t>
  </si>
  <si>
    <t>Доп выходные</t>
  </si>
  <si>
    <t>Доп ребенок</t>
  </si>
  <si>
    <t>Заезд</t>
  </si>
  <si>
    <t>Выезд</t>
  </si>
  <si>
    <t>Взрослые</t>
  </si>
  <si>
    <t>Дети</t>
  </si>
  <si>
    <t>Дата бронирования</t>
  </si>
  <si>
    <t>Акция</t>
  </si>
  <si>
    <t>буд ноч подряд</t>
  </si>
  <si>
    <t>буд подряд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</si>
</sst>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C3" sqref="C3"/>
    </sheetView>
  </sheetViews>
  <sheetFormatPr defaultRowHeight="15" x14ac:dyDescent="0.25"/>
  <cols>
    <col min="1" max="1" width="11.42578125" customWidth="1"/>
    <col min="3" max="3" width="11.5703125" customWidth="1"/>
    <col min="4" max="4" width="11.42578125" customWidth="1"/>
    <col min="5" max="5" width="10.5703125" customWidth="1"/>
    <col min="6" max="6" width="14" customWidth="1"/>
    <col min="7" max="7" width="13" customWidth="1"/>
    <col min="8" max="8" width="12.7109375" customWidth="1"/>
    <col min="9" max="9" width="17.5703125" customWidth="1"/>
  </cols>
  <sheetData>
    <row r="1" spans="1:12" x14ac:dyDescent="0.25">
      <c r="A1" t="s">
        <v>0</v>
      </c>
      <c r="B1" t="s">
        <v>1</v>
      </c>
      <c r="C1" t="s">
        <v>39</v>
      </c>
      <c r="D1" t="s">
        <v>38</v>
      </c>
      <c r="E1" t="s">
        <v>40</v>
      </c>
      <c r="F1" t="s">
        <v>41</v>
      </c>
      <c r="G1" t="s">
        <v>42</v>
      </c>
      <c r="H1" t="s">
        <v>23</v>
      </c>
      <c r="I1" t="s">
        <v>24</v>
      </c>
    </row>
    <row r="2" spans="1:12" x14ac:dyDescent="0.25">
      <c r="A2" t="s">
        <v>10</v>
      </c>
      <c r="B2">
        <v>8800</v>
      </c>
      <c r="C2">
        <v>13600</v>
      </c>
      <c r="D2">
        <v>19500</v>
      </c>
      <c r="E2">
        <v>2400</v>
      </c>
      <c r="F2">
        <v>2800</v>
      </c>
      <c r="G2">
        <v>2100</v>
      </c>
      <c r="H2">
        <v>0.9</v>
      </c>
      <c r="I2">
        <f>B2</f>
        <v>8800</v>
      </c>
      <c r="L2" t="s">
        <v>26</v>
      </c>
    </row>
    <row r="3" spans="1:12" x14ac:dyDescent="0.25">
      <c r="A3" t="s">
        <v>11</v>
      </c>
      <c r="B3">
        <v>9900</v>
      </c>
      <c r="C3">
        <v>17700</v>
      </c>
      <c r="D3">
        <v>22000</v>
      </c>
      <c r="E3">
        <v>2400</v>
      </c>
      <c r="F3">
        <v>2800</v>
      </c>
      <c r="G3">
        <v>2100</v>
      </c>
      <c r="H3">
        <v>0.9</v>
      </c>
      <c r="I3">
        <f t="shared" ref="I3:I14" si="0">B3</f>
        <v>9900</v>
      </c>
      <c r="L3" t="s">
        <v>27</v>
      </c>
    </row>
    <row r="4" spans="1:12" x14ac:dyDescent="0.25">
      <c r="A4" t="s">
        <v>12</v>
      </c>
      <c r="B4">
        <v>11200</v>
      </c>
      <c r="C4">
        <v>19400</v>
      </c>
      <c r="D4">
        <v>24200</v>
      </c>
      <c r="E4">
        <v>2400</v>
      </c>
      <c r="F4">
        <v>2800</v>
      </c>
      <c r="G4">
        <v>2100</v>
      </c>
      <c r="H4">
        <v>0.9</v>
      </c>
      <c r="I4">
        <f t="shared" si="0"/>
        <v>11200</v>
      </c>
      <c r="L4" t="s">
        <v>28</v>
      </c>
    </row>
    <row r="5" spans="1:12" x14ac:dyDescent="0.25">
      <c r="A5" t="s">
        <v>13</v>
      </c>
      <c r="B5">
        <v>18100</v>
      </c>
      <c r="C5">
        <v>31000</v>
      </c>
      <c r="D5">
        <v>43000</v>
      </c>
      <c r="E5">
        <v>2400</v>
      </c>
      <c r="F5">
        <v>2800</v>
      </c>
      <c r="G5">
        <v>2100</v>
      </c>
      <c r="H5">
        <v>0.9</v>
      </c>
      <c r="I5">
        <f t="shared" si="0"/>
        <v>18100</v>
      </c>
      <c r="L5" t="s">
        <v>29</v>
      </c>
    </row>
    <row r="6" spans="1:12" x14ac:dyDescent="0.25">
      <c r="A6" t="s">
        <v>14</v>
      </c>
      <c r="B6">
        <v>20200</v>
      </c>
      <c r="C6">
        <v>37100</v>
      </c>
      <c r="D6">
        <v>49000</v>
      </c>
      <c r="E6">
        <v>2400</v>
      </c>
      <c r="F6">
        <v>2800</v>
      </c>
      <c r="G6">
        <v>2100</v>
      </c>
      <c r="H6">
        <v>0.9</v>
      </c>
      <c r="I6">
        <f t="shared" si="0"/>
        <v>20200</v>
      </c>
      <c r="L6" t="s">
        <v>30</v>
      </c>
    </row>
    <row r="7" spans="1:12" x14ac:dyDescent="0.25">
      <c r="A7" t="s">
        <v>15</v>
      </c>
      <c r="B7">
        <v>20200</v>
      </c>
      <c r="C7">
        <v>37100</v>
      </c>
      <c r="D7">
        <v>49000</v>
      </c>
      <c r="E7">
        <v>2400</v>
      </c>
      <c r="F7">
        <v>2800</v>
      </c>
      <c r="G7">
        <v>2100</v>
      </c>
      <c r="H7">
        <v>0.9</v>
      </c>
      <c r="I7">
        <f t="shared" si="0"/>
        <v>20200</v>
      </c>
      <c r="L7" t="s">
        <v>31</v>
      </c>
    </row>
    <row r="8" spans="1:12" x14ac:dyDescent="0.25">
      <c r="A8" t="s">
        <v>16</v>
      </c>
      <c r="B8">
        <v>25000</v>
      </c>
      <c r="C8">
        <v>42000</v>
      </c>
      <c r="D8">
        <v>57000</v>
      </c>
      <c r="E8">
        <v>2400</v>
      </c>
      <c r="F8">
        <v>2800</v>
      </c>
      <c r="G8">
        <v>2100</v>
      </c>
      <c r="H8">
        <v>0.9</v>
      </c>
      <c r="I8">
        <f t="shared" si="0"/>
        <v>25000</v>
      </c>
    </row>
    <row r="9" spans="1:12" x14ac:dyDescent="0.25">
      <c r="A9" t="s">
        <v>17</v>
      </c>
      <c r="B9">
        <v>28100</v>
      </c>
      <c r="C9">
        <v>44500</v>
      </c>
      <c r="D9">
        <v>62500</v>
      </c>
      <c r="E9">
        <v>2400</v>
      </c>
      <c r="F9">
        <v>2800</v>
      </c>
      <c r="G9">
        <v>2100</v>
      </c>
      <c r="H9">
        <v>0.9</v>
      </c>
      <c r="I9">
        <f t="shared" si="0"/>
        <v>28100</v>
      </c>
    </row>
    <row r="10" spans="1:12" x14ac:dyDescent="0.25">
      <c r="A10" t="s">
        <v>18</v>
      </c>
      <c r="B10">
        <v>19400</v>
      </c>
      <c r="C10">
        <v>34100</v>
      </c>
      <c r="D10">
        <v>45300</v>
      </c>
      <c r="E10">
        <v>2400</v>
      </c>
      <c r="F10">
        <v>2800</v>
      </c>
      <c r="G10">
        <v>2100</v>
      </c>
      <c r="H10">
        <v>0.9</v>
      </c>
      <c r="I10">
        <f t="shared" si="0"/>
        <v>19400</v>
      </c>
    </row>
    <row r="11" spans="1:12" x14ac:dyDescent="0.25">
      <c r="A11" t="s">
        <v>19</v>
      </c>
      <c r="B11">
        <v>28000</v>
      </c>
      <c r="C11">
        <v>40000</v>
      </c>
      <c r="D11">
        <v>61000</v>
      </c>
      <c r="E11">
        <v>2400</v>
      </c>
      <c r="F11">
        <v>2800</v>
      </c>
      <c r="G11">
        <v>2100</v>
      </c>
      <c r="H11">
        <v>0.9</v>
      </c>
      <c r="I11">
        <f t="shared" si="0"/>
        <v>28000</v>
      </c>
    </row>
    <row r="12" spans="1:12" x14ac:dyDescent="0.25">
      <c r="A12" t="s">
        <v>20</v>
      </c>
      <c r="B12">
        <v>30500</v>
      </c>
      <c r="C12">
        <v>46000</v>
      </c>
      <c r="D12">
        <v>65500</v>
      </c>
      <c r="E12">
        <v>2400</v>
      </c>
      <c r="F12">
        <v>2800</v>
      </c>
      <c r="G12">
        <v>2100</v>
      </c>
      <c r="H12">
        <v>0.9</v>
      </c>
      <c r="I12">
        <f t="shared" si="0"/>
        <v>30500</v>
      </c>
    </row>
    <row r="13" spans="1:12" x14ac:dyDescent="0.25">
      <c r="A13" t="s">
        <v>21</v>
      </c>
      <c r="B13">
        <v>32000</v>
      </c>
      <c r="C13">
        <v>49000</v>
      </c>
      <c r="D13">
        <v>69000</v>
      </c>
      <c r="E13">
        <v>2400</v>
      </c>
      <c r="F13">
        <v>2800</v>
      </c>
      <c r="G13">
        <v>2100</v>
      </c>
      <c r="H13">
        <v>0.9</v>
      </c>
      <c r="I13">
        <f t="shared" si="0"/>
        <v>32000</v>
      </c>
    </row>
    <row r="14" spans="1:12" x14ac:dyDescent="0.25">
      <c r="A14" t="s">
        <v>22</v>
      </c>
      <c r="B14">
        <v>41000</v>
      </c>
      <c r="C14">
        <v>57000</v>
      </c>
      <c r="D14">
        <v>86500</v>
      </c>
      <c r="E14">
        <v>2400</v>
      </c>
      <c r="F14">
        <v>2800</v>
      </c>
      <c r="G14">
        <v>2100</v>
      </c>
      <c r="H14">
        <v>0.9</v>
      </c>
      <c r="I14">
        <f t="shared" si="0"/>
        <v>41000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4"/>
  <sheetViews>
    <sheetView tabSelected="1" zoomScaleNormal="100" workbookViewId="0">
      <selection activeCell="E8" sqref="E8"/>
    </sheetView>
  </sheetViews>
  <sheetFormatPr defaultRowHeight="15" x14ac:dyDescent="0.25"/>
  <cols>
    <col min="1" max="1" width="20.5703125" customWidth="1"/>
    <col min="2" max="2" width="11.140625" customWidth="1"/>
    <col min="3" max="3" width="10.140625" bestFit="1" customWidth="1"/>
    <col min="4" max="4" width="10.140625" customWidth="1"/>
    <col min="6" max="6" width="19" customWidth="1"/>
    <col min="7" max="7" width="11.42578125" customWidth="1"/>
    <col min="8" max="8" width="22" customWidth="1"/>
    <col min="31" max="31" width="21.28515625" customWidth="1"/>
    <col min="32" max="32" width="15.42578125" customWidth="1"/>
    <col min="33" max="33" width="22" customWidth="1"/>
  </cols>
  <sheetData>
    <row r="1" spans="1:57" ht="21" x14ac:dyDescent="0.35">
      <c r="A1" s="1" t="s">
        <v>2</v>
      </c>
    </row>
    <row r="2" spans="1:57" x14ac:dyDescent="0.25">
      <c r="A2" s="3" t="s">
        <v>0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27</v>
      </c>
      <c r="H2" s="3" t="s">
        <v>48</v>
      </c>
      <c r="I2" s="3" t="s">
        <v>25</v>
      </c>
      <c r="Z2" s="12" t="s">
        <v>32</v>
      </c>
      <c r="AA2" s="12" t="s">
        <v>33</v>
      </c>
      <c r="AB2" s="12" t="s">
        <v>28</v>
      </c>
      <c r="AC2" s="12" t="s">
        <v>29</v>
      </c>
      <c r="AD2" s="12" t="s">
        <v>34</v>
      </c>
      <c r="AE2" s="12" t="s">
        <v>37</v>
      </c>
      <c r="AF2" t="s">
        <v>49</v>
      </c>
      <c r="AG2" t="s">
        <v>50</v>
      </c>
    </row>
    <row r="3" spans="1:57" x14ac:dyDescent="0.25">
      <c r="A3" s="4" t="s">
        <v>18</v>
      </c>
      <c r="B3" s="5">
        <v>46189</v>
      </c>
      <c r="C3" s="5">
        <v>46198</v>
      </c>
      <c r="D3" s="3">
        <v>3</v>
      </c>
      <c r="E3" s="3">
        <v>1</v>
      </c>
      <c r="F3" s="5">
        <v>46179</v>
      </c>
      <c r="G3" s="3"/>
      <c r="H3" s="3" t="str">
        <f ca="1">IF(AE3=0,"Нет акции",IF(AE3=Z3,"Раннее бронирование",IF(AE3=AA3,"Именинник",IF(AE3=AB3,"3+1",IF(AE3=AC3,"4+1",IF(AE3=AD3,"Длительный заезд",""))))))</f>
        <v>3+1</v>
      </c>
      <c r="I3" s="3">
        <f ca="1">MIN(Z3,AA3,AB3,AC3,AD3)</f>
        <v>0</v>
      </c>
      <c r="J3" s="2"/>
      <c r="K3" s="2">
        <f t="shared" ref="K3:S3" si="0">IF(COLUMN()-5&lt;=$C$3-$B$3, $B$3+(COLUMN()-6), "")</f>
        <v>46194</v>
      </c>
      <c r="L3">
        <f t="shared" si="0"/>
        <v>46195</v>
      </c>
      <c r="M3">
        <f t="shared" si="0"/>
        <v>46196</v>
      </c>
      <c r="N3">
        <f t="shared" si="0"/>
        <v>46197</v>
      </c>
      <c r="O3" t="str">
        <f t="shared" si="0"/>
        <v/>
      </c>
      <c r="Q3" t="str">
        <f t="shared" si="0"/>
        <v/>
      </c>
      <c r="R3" t="str">
        <f t="shared" si="0"/>
        <v/>
      </c>
      <c r="S3" t="str">
        <f t="shared" si="0"/>
        <v/>
      </c>
      <c r="Z3" s="8">
        <f>IF(AND(C3-F3&gt;=30, C3&gt;B3), B13*0.1, 0)</f>
        <v>0</v>
      </c>
      <c r="AA3" s="8">
        <f>IF(AND(G3="Да", LEN(G3)=2), B13*0.15, 0)</f>
        <v>0</v>
      </c>
      <c r="AB3" s="6">
        <f ca="1">IF(AF3&gt;=3, VLOOKUP(A3,База!A:G,2,0) + D3*VLOOKUP(A3,База!A:G,5,0) + E3*VLOOKUP(A3,База!A:G,7,0), 0)</f>
        <v>28700</v>
      </c>
      <c r="AC3" s="6">
        <f ca="1">IF(AF3&gt;=4, VLOOKUP(A3,База!A:G,2,0) + D3*VLOOKUP(A3,База!A:G,5,0) + E3*VLOOKUP(A3,База!A:G,7,0), 0)</f>
        <v>0</v>
      </c>
      <c r="AD3" s="8">
        <f>IF(B5&gt;=7, B13 - (B5*VLOOKUP(A3,База!A:G,2,0) + D3*B5*VLOOKUP(A3,База!A:G,5,0) + E3*B5*VLOOKUP(A3,База!A:G,7,0)), 0)</f>
        <v>8900</v>
      </c>
      <c r="AE3" s="13">
        <f ca="1">MAX(Z3, AA3, AB3, AC3, AD3)</f>
        <v>28700</v>
      </c>
      <c r="AF3">
        <f t="array" aca="1" ref="AF3" ca="1">LARGE(FREQUENCY(IF(WEEKDAY(ROW(INDIRECT(B3&amp;":"&amp;C3-1)),2)&lt;=4, ROW(INDIRECT(B3&amp;":"&amp;C3-1))), IF(WEEKDAY(ROW(INDIRECT(B3&amp;":"&amp;C3-1)),2)&gt;=5, ROW(INDIRECT(B3&amp;":"&amp;C3-1)))), 1)</f>
        <v>3</v>
      </c>
      <c r="AG3">
        <f>MAX(Z7:AN7)</f>
        <v>4</v>
      </c>
    </row>
    <row r="5" spans="1:57" x14ac:dyDescent="0.25">
      <c r="A5" s="6" t="s">
        <v>3</v>
      </c>
      <c r="B5" s="8">
        <f>C3-B3</f>
        <v>9</v>
      </c>
      <c r="Z5">
        <f>IF(COLUMN()-25 &lt;= $C$3-$B$3, $B$3 + (COLUMN()-26), "")</f>
        <v>46189</v>
      </c>
      <c r="AA5">
        <f t="shared" ref="AA5:BE5" si="1">IF(COLUMN()-25 &lt;= $C$3-$B$3, $B$3 + (COLUMN()-26), "")</f>
        <v>46190</v>
      </c>
      <c r="AB5">
        <f t="shared" si="1"/>
        <v>46191</v>
      </c>
      <c r="AC5">
        <f t="shared" si="1"/>
        <v>46192</v>
      </c>
      <c r="AD5">
        <f t="shared" si="1"/>
        <v>46193</v>
      </c>
      <c r="AE5">
        <f t="shared" si="1"/>
        <v>46194</v>
      </c>
      <c r="AF5">
        <f t="shared" si="1"/>
        <v>46195</v>
      </c>
      <c r="AG5">
        <f t="shared" si="1"/>
        <v>46196</v>
      </c>
      <c r="AH5">
        <f t="shared" si="1"/>
        <v>46197</v>
      </c>
      <c r="AI5" t="str">
        <f t="shared" si="1"/>
        <v/>
      </c>
      <c r="AJ5" t="str">
        <f t="shared" si="1"/>
        <v/>
      </c>
      <c r="AK5" t="str">
        <f t="shared" si="1"/>
        <v/>
      </c>
      <c r="AL5" t="str">
        <f t="shared" si="1"/>
        <v/>
      </c>
      <c r="AM5" t="str">
        <f t="shared" si="1"/>
        <v/>
      </c>
      <c r="AN5" t="str">
        <f t="shared" si="1"/>
        <v/>
      </c>
      <c r="AO5" t="str">
        <f t="shared" si="1"/>
        <v/>
      </c>
      <c r="AP5" t="str">
        <f t="shared" si="1"/>
        <v/>
      </c>
      <c r="AQ5" t="str">
        <f t="shared" si="1"/>
        <v/>
      </c>
      <c r="AR5" t="str">
        <f t="shared" si="1"/>
        <v/>
      </c>
      <c r="AS5" t="str">
        <f t="shared" si="1"/>
        <v/>
      </c>
      <c r="AT5" t="str">
        <f t="shared" si="1"/>
        <v/>
      </c>
      <c r="AU5" t="str">
        <f t="shared" si="1"/>
        <v/>
      </c>
      <c r="AV5" t="str">
        <f t="shared" si="1"/>
        <v/>
      </c>
      <c r="AW5" t="str">
        <f t="shared" si="1"/>
        <v/>
      </c>
      <c r="AX5" t="str">
        <f t="shared" si="1"/>
        <v/>
      </c>
      <c r="AY5" t="str">
        <f t="shared" si="1"/>
        <v/>
      </c>
      <c r="AZ5" t="str">
        <f t="shared" si="1"/>
        <v/>
      </c>
      <c r="BA5" t="str">
        <f t="shared" si="1"/>
        <v/>
      </c>
      <c r="BB5" t="str">
        <f t="shared" si="1"/>
        <v/>
      </c>
      <c r="BC5" t="str">
        <f t="shared" si="1"/>
        <v/>
      </c>
      <c r="BD5" t="str">
        <f t="shared" si="1"/>
        <v/>
      </c>
      <c r="BE5" t="str">
        <f t="shared" si="1"/>
        <v/>
      </c>
    </row>
    <row r="6" spans="1:57" x14ac:dyDescent="0.25">
      <c r="A6" s="6" t="s">
        <v>4</v>
      </c>
      <c r="B6" s="8" cm="1">
        <f t="array" ref="B6">SUMPRODUCT((WEEKDAY(ROW(INDEX(A:A,B3):INDEX(A:A,C3-1)),2)=5)+(WEEKDAY(ROW(INDEX(A:A,B3):INDEX(A:A,C3-1)),2)=6))</f>
        <v>2</v>
      </c>
      <c r="Z6" t="str">
        <f>IF(Z5="", "", IF(OR(WEEKDAY(Z5,2)=5, WEEKDAY(Z5,2)=6), "вых", "будни"))</f>
        <v>будни</v>
      </c>
      <c r="AA6" t="str">
        <f t="shared" ref="AA6:AW6" si="2">IF(AA5="", "", IF(OR(WEEKDAY(AA5,2)=5, WEEKDAY(AA5,2)=6), "вых", "будни"))</f>
        <v>будни</v>
      </c>
      <c r="AB6" t="str">
        <f t="shared" si="2"/>
        <v>будни</v>
      </c>
      <c r="AC6" t="str">
        <f t="shared" si="2"/>
        <v>вых</v>
      </c>
      <c r="AD6" t="str">
        <f t="shared" si="2"/>
        <v>вых</v>
      </c>
      <c r="AE6" t="str">
        <f t="shared" si="2"/>
        <v>будни</v>
      </c>
      <c r="AF6" t="str">
        <f t="shared" si="2"/>
        <v>будни</v>
      </c>
      <c r="AG6" t="str">
        <f t="shared" si="2"/>
        <v>будни</v>
      </c>
      <c r="AH6" t="str">
        <f t="shared" si="2"/>
        <v>будни</v>
      </c>
      <c r="AI6" t="str">
        <f t="shared" si="2"/>
        <v/>
      </c>
      <c r="AJ6" t="str">
        <f t="shared" si="2"/>
        <v/>
      </c>
      <c r="AK6" t="str">
        <f t="shared" si="2"/>
        <v/>
      </c>
      <c r="AL6" t="str">
        <f t="shared" si="2"/>
        <v/>
      </c>
      <c r="AM6" t="str">
        <f t="shared" si="2"/>
        <v/>
      </c>
      <c r="AN6" t="str">
        <f t="shared" si="2"/>
        <v/>
      </c>
      <c r="AO6" t="str">
        <f t="shared" si="2"/>
        <v/>
      </c>
      <c r="AP6" t="str">
        <f t="shared" si="2"/>
        <v/>
      </c>
      <c r="AQ6" t="str">
        <f t="shared" si="2"/>
        <v/>
      </c>
      <c r="AR6" t="str">
        <f t="shared" si="2"/>
        <v/>
      </c>
      <c r="AS6" t="str">
        <f t="shared" si="2"/>
        <v/>
      </c>
      <c r="AT6" t="str">
        <f t="shared" si="2"/>
        <v/>
      </c>
      <c r="AU6" t="str">
        <f t="shared" si="2"/>
        <v/>
      </c>
      <c r="AV6" t="str">
        <f t="shared" si="2"/>
        <v/>
      </c>
      <c r="AW6" t="str">
        <f t="shared" si="2"/>
        <v/>
      </c>
    </row>
    <row r="7" spans="1:57" x14ac:dyDescent="0.25">
      <c r="A7" s="6" t="s">
        <v>5</v>
      </c>
      <c r="B7" s="8">
        <f>B5-B6</f>
        <v>7</v>
      </c>
      <c r="Z7">
        <f>IF(Z6="будни", 1, 0)</f>
        <v>1</v>
      </c>
      <c r="AA7">
        <f>IF(AA6="будни", Z7+1, 0)</f>
        <v>2</v>
      </c>
      <c r="AB7">
        <f t="shared" ref="AB7:AY7" si="3">IF(AB6="будни", AA7+1, 0)</f>
        <v>3</v>
      </c>
      <c r="AC7">
        <f t="shared" si="3"/>
        <v>0</v>
      </c>
      <c r="AD7">
        <f t="shared" si="3"/>
        <v>0</v>
      </c>
      <c r="AE7">
        <f t="shared" si="3"/>
        <v>1</v>
      </c>
      <c r="AF7">
        <f t="shared" si="3"/>
        <v>2</v>
      </c>
      <c r="AG7">
        <f t="shared" si="3"/>
        <v>3</v>
      </c>
      <c r="AH7">
        <f t="shared" si="3"/>
        <v>4</v>
      </c>
      <c r="AI7">
        <f t="shared" si="3"/>
        <v>0</v>
      </c>
      <c r="AJ7">
        <f t="shared" si="3"/>
        <v>0</v>
      </c>
      <c r="AK7">
        <f t="shared" si="3"/>
        <v>0</v>
      </c>
      <c r="AL7">
        <f t="shared" si="3"/>
        <v>0</v>
      </c>
      <c r="AM7">
        <f t="shared" si="3"/>
        <v>0</v>
      </c>
      <c r="AN7">
        <f t="shared" si="3"/>
        <v>0</v>
      </c>
      <c r="AO7">
        <f t="shared" si="3"/>
        <v>0</v>
      </c>
      <c r="AP7">
        <f t="shared" si="3"/>
        <v>0</v>
      </c>
      <c r="AQ7">
        <f t="shared" si="3"/>
        <v>0</v>
      </c>
      <c r="AR7">
        <f t="shared" si="3"/>
        <v>0</v>
      </c>
      <c r="AS7">
        <f t="shared" si="3"/>
        <v>0</v>
      </c>
      <c r="AT7">
        <f t="shared" si="3"/>
        <v>0</v>
      </c>
      <c r="AU7">
        <f t="shared" si="3"/>
        <v>0</v>
      </c>
      <c r="AV7">
        <f t="shared" si="3"/>
        <v>0</v>
      </c>
      <c r="AW7">
        <f t="shared" si="3"/>
        <v>0</v>
      </c>
      <c r="AX7">
        <f t="shared" si="3"/>
        <v>0</v>
      </c>
      <c r="AY7">
        <f t="shared" si="3"/>
        <v>0</v>
      </c>
    </row>
    <row r="8" spans="1:57" x14ac:dyDescent="0.25">
      <c r="A8" s="6" t="s">
        <v>6</v>
      </c>
      <c r="B8" s="8" cm="1">
        <f t="array" ref="B8">SUMPRODUCT((WEEKDAY(ROW(INDEX(A:A,B3):INDEX(A:A,C3-2)),2)=5)*(WEEKDAY(ROW(INDEX(A:A,B3+1):INDEX(A:A,C3-1)),2)=6))</f>
        <v>1</v>
      </c>
    </row>
    <row r="9" spans="1:57" x14ac:dyDescent="0.25">
      <c r="A9" s="6" t="s">
        <v>7</v>
      </c>
      <c r="B9" s="8">
        <f>B7*VLOOKUP(A3,База!A:G,2,0)+B8*VLOOKUP(A3,База!A:G,4,0)+(B6-B8*2)*VLOOKUP(A3,База!A:G,3,0)</f>
        <v>181100</v>
      </c>
    </row>
    <row r="10" spans="1:57" x14ac:dyDescent="0.25">
      <c r="A10" s="6" t="s">
        <v>8</v>
      </c>
      <c r="B10" s="8">
        <f>D3*(B7*VLOOKUP(A3,База!A:G,5,0)+B6*VLOOKUP(A3,База!A:G,6,0))</f>
        <v>67200</v>
      </c>
    </row>
    <row r="11" spans="1:57" x14ac:dyDescent="0.25">
      <c r="A11" s="6" t="s">
        <v>9</v>
      </c>
      <c r="B11" s="8">
        <f>E3*B5*VLOOKUP(A3,База!A:G,7,0)</f>
        <v>18900</v>
      </c>
    </row>
    <row r="12" spans="1:57" x14ac:dyDescent="0.25">
      <c r="A12" s="7"/>
      <c r="B12" s="9"/>
    </row>
    <row r="13" spans="1:57" x14ac:dyDescent="0.25">
      <c r="A13" s="6" t="s">
        <v>35</v>
      </c>
      <c r="B13" s="10">
        <f>B9+B10+B11</f>
        <v>267200</v>
      </c>
    </row>
    <row r="14" spans="1:57" ht="18.75" x14ac:dyDescent="0.3">
      <c r="A14" s="6" t="s">
        <v>36</v>
      </c>
      <c r="B14" s="11">
        <f ca="1">B13-AE3</f>
        <v>238500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База!$A$2:$A$14</xm:f>
          </x14:formula1>
          <xm:sqref>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База</vt:lpstr>
      <vt:lpstr>Калькулятор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Юлия</cp:lastModifiedBy>
  <dcterms:created xsi:type="dcterms:W3CDTF">2026-06-06T09:25:00Z</dcterms:created>
  <dcterms:modified xsi:type="dcterms:W3CDTF">2026-06-06T17:15:30Z</dcterms:modified>
</cp:coreProperties>
</file>